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bb60a0f08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5c10287659d4174"/>
    <x:sheet xmlns:r="http://schemas.openxmlformats.org/officeDocument/2006/relationships" name="P1 Balanced" sheetId="2" r:id="R9960d8b1761f4156"/>
    <x:sheet xmlns:r="http://schemas.openxmlformats.org/officeDocument/2006/relationships" name="P2 Romantic" sheetId="3" r:id="Rcd025f3d72e548ac"/>
    <x:sheet xmlns:r="http://schemas.openxmlformats.org/officeDocument/2006/relationships" name="P3 Explore Manila" sheetId="4" r:id="Re468027fcfeb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4" fillId="6" borderId="0" xfId="0" applyNumberFormat="1" applyFont="1" applyFill="1" applyBorder="1"/>
    <x:xf numFmtId="200" fontId="0" fillId="6" borderId="1" xfId="0" applyNumberFormat="1" applyFont="1" applyFill="1" applyBorder="1"/>
    <x:xf numFmtId="20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b854793b740fb" /><Relationship Type="http://schemas.openxmlformats.org/officeDocument/2006/relationships/theme" Target="/xl/theme/theme1.xml" Id="Rbbc726704a0f4e77" /><Relationship Type="http://schemas.openxmlformats.org/officeDocument/2006/relationships/sharedStrings" Target="/xl/sharedStrings.xml" Id="R09fbf8c49e7d42ec" /><Relationship Type="http://schemas.openxmlformats.org/officeDocument/2006/relationships/worksheet" Target="/xl/worksheets/sheet1.xml" Id="Re5c10287659d4174" /><Relationship Type="http://schemas.openxmlformats.org/officeDocument/2006/relationships/worksheet" Target="/xl/worksheets/sheet2.xml" Id="R9960d8b1761f4156" /><Relationship Type="http://schemas.openxmlformats.org/officeDocument/2006/relationships/worksheet" Target="/xl/worksheets/sheet3.xml" Id="Rcd025f3d72e548ac" /><Relationship Type="http://schemas.openxmlformats.org/officeDocument/2006/relationships/worksheet" Target="/xl/worksheets/sheet4.xml" Id="Re468027fcfeb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2" hidden="0" customWidth="1"/>
    <x:col min="4" max="4" width="35" hidden="0" customWidth="1"/>
    <x:col min="5" max="5" width="34" hidden="0" customWidth="1"/>
    <x:col min="6" max="6" width="24" hidden="0" customWidth="1"/>
    <x:col min="7" max="7" width="15" hidden="0" customWidth="1"/>
    <x:col min="8" max="8" width="15" hidden="0" customWidth="1"/>
  </x:cols>
  <x:sheetData>
    <x:row r="1">
      <x:c r="A1" s="24" t="str">
        <x:v>COUPLE'S BGC + MANILA ITINERARY PROPOSALS</x:v>
      </x:c>
      <x:c r="B1" s="24"/>
      <x:c r="C1" s="24"/>
      <x:c r="D1" s="24"/>
      <x:c r="E1" s="24"/>
      <x:c r="F1" s="24"/>
      <x:c r="G1" s="24"/>
      <x:c r="H1" s="24"/>
    </x:row>
    <x:row r="2">
      <x:c r="A2" s="25" t="str">
        <x:v>August 26 – September 6, 2026 | 2 people | Weekdays kept close to BGC | Aug 31 Holiday</x:v>
      </x:c>
      <x:c r="B2" s="25"/>
      <x:c r="C2" s="25"/>
      <x:c r="D2" s="25"/>
      <x:c r="E2" s="25"/>
      <x:c r="F2" s="25"/>
      <x:c r="G2" s="25"/>
      <x:c r="H2" s="2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7" t="str">
        <x:v>Proposal</x:v>
      </x:c>
      <x:c r="B4" s="27" t="str">
        <x:v>Style</x:v>
      </x:c>
      <x:c r="C4" s="27" t="str">
        <x:v>Best For</x:v>
      </x:c>
      <x:c r="D4" s="27" t="str">
        <x:v>Full-Day Focus</x:v>
      </x:c>
      <x:c r="E4" s="27" t="str">
        <x:v>Weekday Rule</x:v>
      </x:c>
      <x:c r="F4" s="27" t="str">
        <x:v>Estimated Total*</x:v>
      </x:c>
      <x:c r="G4" s="26"/>
      <x:c r="H4" s="26"/>
    </x:row>
    <x:row r="5">
      <x:c r="A5" s="26" t="str">
        <x:v>Proposal 1</x:v>
      </x:c>
      <x:c r="B5" s="26" t="str">
        <x:v>Balanced Couple Week</x:v>
      </x:c>
      <x:c r="C5" s="26" t="str">
        <x:v>Best overall mix</x:v>
      </x:c>
      <x:c r="D5" s="26" t="str">
        <x:v>Sat Manila, Sun Makati, Mon relaxed BGC</x:v>
      </x:c>
      <x:c r="E5" s="26" t="str">
        <x:v>BGC/McKinley only</x:v>
      </x:c>
      <x:c r="F5" s="26" t="str">
        <x:f>'P1 Balanced'!I20&amp;" – "&amp;'P1 Balanced'!J20</x:f>
        <x:v>19350 – 33650</x:v>
      </x:c>
      <x:c r="G5" s="26"/>
      <x:c r="H5" s="26"/>
    </x:row>
    <x:row r="6">
      <x:c r="A6" s="26" t="str">
        <x:v>Proposal 2</x:v>
      </x:c>
      <x:c r="B6" s="26" t="str">
        <x:v>Romantic / Staycation</x:v>
      </x:c>
      <x:c r="C6" s="26" t="str">
        <x:v>More couple time, less touring</x:v>
      </x:c>
      <x:c r="D6" s="26" t="str">
        <x:v>Sat BGC+Makati, Sun lazy, Mon romantic</x:v>
      </x:c>
      <x:c r="E6" s="26" t="str">
        <x:v>BGC/McKinley only</x:v>
      </x:c>
      <x:c r="F6" s="26" t="str">
        <x:f>'P2 Romantic'!I20&amp;" – "&amp;'P2 Romantic'!J20</x:f>
        <x:v>21450 – 37550</x:v>
      </x:c>
      <x:c r="G6" s="26"/>
      <x:c r="H6" s="26"/>
    </x:row>
    <x:row r="7">
      <x:c r="A7" s="26" t="str">
        <x:v>Proposal 3</x:v>
      </x:c>
      <x:c r="B7" s="26" t="str">
        <x:v>Explore Manila</x:v>
      </x:c>
      <x:c r="C7" s="26" t="str">
        <x:v>Maximize sightseeing</x:v>
      </x:c>
      <x:c r="D7" s="26" t="str">
        <x:v>Sat Old Manila, Sun Binondo, Mon Makati/BGC</x:v>
      </x:c>
      <x:c r="E7" s="26" t="str">
        <x:v>BGC/McKinley only</x:v>
      </x:c>
      <x:c r="F7" s="26" t="str">
        <x:f>'P3 Explore Manila'!I20&amp;" – "&amp;'P3 Explore Manila'!J20</x:f>
        <x:v>18950 – 33450</x:v>
      </x:c>
      <x:c r="G7" s="26"/>
      <x:c r="H7" s="26"/>
    </x:row>
    <x:row r="8">
      <x:c r="A8" s="26" t="str">
        <x:v>*Estimates</x:v>
      </x:c>
      <x:c r="B8" s="26" t="str">
        <x:v>For 2 people</x:v>
      </x:c>
      <x:c r="C8" s="26" t="str">
        <x:v>Excludes flights and shopping</x:v>
      </x:c>
      <x:c r="D8" s="26" t="str">
        <x:v>Grab prices vary by demand</x:v>
      </x:c>
      <x:c r="E8" s="26" t="str">
        <x:v>Restaurant choices can change totals</x:v>
      </x:c>
      <x:c r="F8" s="26" t="str">
        <x:v>Low–High range</x:v>
      </x:c>
      <x:c r="G8" s="26"/>
      <x:c r="H8" s="26"/>
    </x:row>
    <x:row r="9">
      <x:c r="A9" s="26"/>
      <x:c r="B9" s="26"/>
      <x:c r="C9" s="26"/>
      <x:c r="D9" s="26"/>
      <x:c r="E9" s="26"/>
      <x:c r="F9" s="26"/>
      <x:c r="G9" s="26"/>
      <x:c r="H9" s="26"/>
    </x:row>
    <x:row r="10">
      <x:c r="A10" s="27" t="str">
        <x:v>Planning Assumptions</x:v>
      </x:c>
      <x:c r="B10" s="27" t="str"/>
      <x:c r="C10" s="27" t="str"/>
      <x:c r="D10" s="27" t="str"/>
      <x:c r="E10" s="27" t="str"/>
      <x:c r="F10" s="27" t="str"/>
      <x:c r="G10" s="27" t="str"/>
      <x:c r="H10" s="27" t="str"/>
    </x:row>
    <x:row r="11">
      <x:c r="A11" s="26" t="str">
        <x:v>Home Base</x:v>
      </x:c>
      <x:c r="B11" s="26" t="str">
        <x:v>Avida Towers Verte, BGC, Taguig</x:v>
      </x:c>
      <x:c r="C11" s="26" t="str"/>
      <x:c r="D11" s="26" t="str"/>
      <x:c r="E11" s="26" t="str"/>
      <x:c r="F11" s="26" t="str"/>
      <x:c r="G11" s="26" t="str"/>
      <x:c r="H11" s="26" t="str"/>
    </x:row>
    <x:row r="12">
      <x:c r="A12" s="26" t="str">
        <x:v>Work Schedule</x:v>
      </x:c>
      <x:c r="B12" s="26" t="str">
        <x:v>7:00 AM–4:00 PM, weekdays; user is swamped so weekday plans stay close</x:v>
      </x:c>
      <x:c r="C12" s="26" t="str"/>
      <x:c r="D12" s="26" t="str"/>
      <x:c r="E12" s="26" t="str"/>
      <x:c r="F12" s="26" t="str"/>
      <x:c r="G12" s="26" t="str"/>
      <x:c r="H12" s="26" t="str"/>
    </x:row>
    <x:row r="13">
      <x:c r="A13" s="26" t="str">
        <x:v>Holiday</x:v>
      </x:c>
      <x:c r="B13" s="26" t="str">
        <x:v>Monday, Aug 31, 2026 – National Heroes Day</x:v>
      </x:c>
      <x:c r="C13" s="26" t="str"/>
      <x:c r="D13" s="26" t="str"/>
      <x:c r="E13" s="26" t="str"/>
      <x:c r="F13" s="26" t="str"/>
      <x:c r="G13" s="26" t="str"/>
      <x:c r="H13" s="26" t="str"/>
    </x:row>
    <x:row r="14">
      <x:c r="A14" s="26" t="str">
        <x:v>Travel estimates</x:v>
      </x:c>
      <x:c r="B14" s="26" t="str">
        <x:v>Rough Grab/taxi estimates for the couple; actual fares depend on traffic/surge</x:v>
      </x:c>
      <x:c r="C14" s="26" t="str"/>
      <x:c r="D14" s="26" t="str"/>
      <x:c r="E14" s="26" t="str"/>
      <x:c r="F14" s="26" t="str"/>
      <x:c r="G14" s="26" t="str"/>
      <x:c r="H14" s="26" t="str"/>
    </x:row>
    <x:row r="15">
      <x:c r="A15" s="26" t="str">
        <x:v>Price estimates</x:v>
      </x:c>
      <x:c r="B15" s="26" t="str">
        <x:v>Rough couple totals for food + listed activities; shopping, flights, and optional premium upgrades excluded</x:v>
      </x:c>
      <x:c r="C15" s="26" t="str"/>
      <x:c r="D15" s="26" t="str"/>
      <x:c r="E15" s="26" t="str"/>
      <x:c r="F15" s="26" t="str"/>
      <x:c r="G15" s="26" t="str"/>
      <x:c r="H15" s="26" t="str"/>
    </x:row>
    <x:row r="17">
      <x:c r="A17" s="46" t="str">
        <x:v>IMPORTANT: All prices are planning estimates, not live quotes. Grab fares, restaurant bills, spa rates, attraction schedules, and holiday operating hours can vary. Confirm reservations/hours before each outing.</x:v>
      </x:c>
      <x:c r="B17" s="46"/>
      <x:c r="C17" s="46"/>
      <x:c r="D17" s="46"/>
      <x:c r="E17" s="46"/>
      <x:c r="F17" s="46"/>
      <x:c r="G17" s="46"/>
      <x:c r="H17" s="46"/>
    </x:row>
    <x:row r="18">
      <x:c r="A18" s="46"/>
      <x:c r="B18" s="46"/>
      <x:c r="C18" s="46"/>
      <x:c r="D18" s="46"/>
      <x:c r="E18" s="46"/>
      <x:c r="F18" s="46"/>
      <x:c r="G18" s="46"/>
      <x:c r="H18" s="46"/>
    </x:row>
  </x:sheetData>
  <x:mergeCells>
    <x:mergeCell ref="A1:H1"/>
    <x:mergeCell ref="A2:H2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30" hidden="0" customWidth="1"/>
    <x:col min="5" max="5" width="32" hidden="0" customWidth="1"/>
    <x:col min="6" max="6" width="58" hidden="0" customWidth="1"/>
    <x:col min="7" max="7" width="20" hidden="0" customWidth="1"/>
    <x:col min="8" max="8" width="16" hidden="0" customWidth="1"/>
    <x:col min="9" max="9" width="22" hidden="0" customWidth="1"/>
    <x:col min="10" max="10" width="23" hidden="0" customWidth="1"/>
    <x:col min="11" max="11" width="34" hidden="0" customWidth="1"/>
  </x:cols>
  <x:sheetData>
    <x:row r="1">
      <x:c r="A1" s="5" t="str">
        <x:v>PROPOSAL 1 — BALANCED COUPLE WEEK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Home base: Avida Towers Verte, BGC, Taguig | 2 people | Weekdays kept close because of 7:00 AM–4:00 PM work | Aug 31 holiday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7" t="str">
        <x:v>Date</x:v>
      </x:c>
      <x:c r="B4" s="27" t="str">
        <x:v>Theme</x:v>
      </x:c>
      <x:c r="C4" s="27" t="str">
        <x:v>Time</x:v>
      </x:c>
      <x:c r="D4" s="27" t="str">
        <x:v>Coming From</x:v>
      </x:c>
      <x:c r="E4" s="27" t="str">
        <x:v>Destination / Area</x:v>
      </x:c>
      <x:c r="F4" s="27" t="str">
        <x:v>Detailed Plan</x:v>
      </x:c>
      <x:c r="G4" s="27" t="str">
        <x:v>Travel Mode</x:v>
      </x:c>
      <x:c r="H4" s="27" t="str">
        <x:v>Est. Travel (₱)</x:v>
      </x:c>
      <x:c r="I4" s="27" t="str">
        <x:v>Est. Food/Activities Low (₱)</x:v>
      </x:c>
      <x:c r="J4" s="27" t="str">
        <x:v>Est. Food/Activities High (₱)</x:v>
      </x:c>
      <x:c r="K4" s="27" t="str">
        <x:v>Notes</x:v>
      </x:c>
    </x:row>
    <x:row r="5">
      <x:c r="A5" s="26" t="str">
        <x:v>Wed, Aug 26</x:v>
      </x:c>
      <x:c r="B5" s="26" t="str">
        <x:v>Arrival Night</x:v>
      </x:c>
      <x:c r="C5" s="26" t="str">
        <x:v>8:00 PM–10:00 PM</x:v>
      </x:c>
      <x:c r="D5" s="26" t="str">
        <x:v>Avida Towers Verte, BGC, Taguig</x:v>
      </x:c>
      <x:c r="E5" s="26" t="str">
        <x:v>BGC / Home</x:v>
      </x:c>
      <x:c r="F5" s="26" t="str">
        <x:v>Wife arrives; settle in; late dinner/order food; short walk if desired; rest early for Thursday work.</x:v>
      </x:c>
      <x:c r="G5" s="26" t="str">
        <x:v>Walk / short Grab</x:v>
      </x:c>
      <x:c r="H5" s="32" t="n">
        <x:v>0</x:v>
      </x:c>
      <x:c r="I5" s="32" t="n">
        <x:v>500</x:v>
      </x:c>
      <x:c r="J5" s="32" t="n">
        <x:v>900</x:v>
      </x:c>
      <x:c r="K5" s="26" t="str">
        <x:v>Low-key arrival night</x:v>
      </x:c>
    </x:row>
    <x:row r="6">
      <x:c r="A6" s="26" t="str">
        <x:v>Thu, Aug 27</x:v>
      </x:c>
      <x:c r="B6" s="26" t="str">
        <x:v>Workday – Welcome to BGC</x:v>
      </x:c>
      <x:c r="C6" s="26" t="str">
        <x:v>5:30 PM–9:30 PM</x:v>
      </x:c>
      <x:c r="D6" s="26" t="str">
        <x:v>Avida Towers Verte, BGC, Taguig</x:v>
      </x:c>
      <x:c r="E6" s="26" t="str">
        <x:v>Bonifacio High Street, BGC</x:v>
      </x:c>
      <x:c r="F6" s="26" t="str">
        <x:v>After 7AM–4PM work: change/rest, High Street walk, casual dinner, dessert/coffee, leisurely walk, home early.</x:v>
      </x:c>
      <x:c r="G6" s="26" t="str">
        <x:v>Walk / short Grab</x:v>
      </x:c>
      <x:c r="H6" s="32" t="n">
        <x:v>0</x:v>
      </x:c>
      <x:c r="I6" s="32" t="n">
        <x:v>1200</x:v>
      </x:c>
      <x:c r="J6" s="32" t="n">
        <x:v>2200</x:v>
      </x:c>
      <x:c r="K6" s="26" t="str">
        <x:v>Keep close because of work</x:v>
      </x:c>
    </x:row>
    <x:row r="7">
      <x:c r="A7" s="26" t="str">
        <x:v>Fri, Aug 28</x:v>
      </x:c>
      <x:c r="B7" s="26" t="str">
        <x:v>Workday – Proper Date Night</x:v>
      </x:c>
      <x:c r="C7" s="26" t="str">
        <x:v>6:30 PM–10:30 PM</x:v>
      </x:c>
      <x:c r="D7" s="26" t="str">
        <x:v>Avida Towers Verte, BGC, Taguig</x:v>
      </x:c>
      <x:c r="E7" s="26" t="str">
        <x:v>BGC</x:v>
      </x:c>
      <x:c r="F7" s="26" t="str">
        <x:v>Nice dinner (Italian/Spanish/French style), dessert or drinks, High Street/Burgos Circle/Forbes Town walk.</x:v>
      </x:c>
      <x:c r="G7" s="26" t="str">
        <x:v>Walk / short Grab</x:v>
      </x:c>
      <x:c r="H7" s="32" t="n">
        <x:v>0</x:v>
      </x:c>
      <x:c r="I7" s="32" t="n">
        <x:v>1800</x:v>
      </x:c>
      <x:c r="J7" s="32" t="n">
        <x:v>3500</x:v>
      </x:c>
      <x:c r="K7" s="26" t="str">
        <x:v>Can stay later; Saturday is free</x:v>
      </x:c>
    </x:row>
    <x:row r="8">
      <x:c r="A8" s="26" t="str">
        <x:v>Sat, Aug 29</x:v>
      </x:c>
      <x:c r="B8" s="26" t="str">
        <x:v>Old Manila Day</x:v>
      </x:c>
      <x:c r="C8" s="26" t="str">
        <x:v>9:00 AM–9:00 PM</x:v>
      </x:c>
      <x:c r="D8" s="26" t="str">
        <x:v>Avida Towers Verte, BGC, Taguig</x:v>
      </x:c>
      <x:c r="E8" s="26" t="str">
        <x:v>National Museum + Intramuros + Manila</x:v>
      </x:c>
      <x:c r="F8" s="26" t="str">
        <x:v>National Museum of Fine Arts; lunch; Manila Cathedral/Plaza Roma; Casa Manila; San Agustin area; Fort Santiago; sunset; dinner; return to BGC.</x:v>
      </x:c>
      <x:c r="G8" s="26" t="str">
        <x:v>Grab / taxi</x:v>
      </x:c>
      <x:c r="H8" s="32" t="n">
        <x:v>700</x:v>
      </x:c>
      <x:c r="I8" s="32" t="n">
        <x:v>1800</x:v>
      </x:c>
      <x:c r="J8" s="32" t="n">
        <x:v>3200</x:v>
      </x:c>
      <x:c r="K8" s="26" t="str">
        <x:v>Museum is generally free; allow small entrance fees in Intramuros</x:v>
      </x:c>
    </x:row>
    <x:row r="9">
      <x:c r="A9" s="26" t="str">
        <x:v>Sun, Aug 30</x:v>
      </x:c>
      <x:c r="B9" s="26" t="str">
        <x:v>Makati + Relaxation</x:v>
      </x:c>
      <x:c r="C9" s="26" t="str">
        <x:v>10:00 AM–9:00 PM</x:v>
      </x:c>
      <x:c r="D9" s="26" t="str">
        <x:v>Avida Towers Verte, BGC, Taguig</x:v>
      </x:c>
      <x:c r="E9" s="26" t="str">
        <x:v>Makati</x:v>
      </x:c>
      <x:c r="F9" s="26" t="str">
        <x:v>Sleep in; brunch; Ayala Museum; Ayala Triangle; return toward BGC; couples massage; dinner.</x:v>
      </x:c>
      <x:c r="G9" s="26" t="str">
        <x:v>Grab / taxi</x:v>
      </x:c>
      <x:c r="H9" s="32" t="n">
        <x:v>450</x:v>
      </x:c>
      <x:c r="I9" s="32" t="n">
        <x:v>3000</x:v>
      </x:c>
      <x:c r="J9" s="32" t="n">
        <x:v>5500</x:v>
      </x:c>
      <x:c r="K9" s="26" t="str">
        <x:v>Relaxed after Saturday</x:v>
      </x:c>
    </x:row>
    <x:row r="10">
      <x:c r="A10" s="26" t="str">
        <x:v>Mon, Aug 31</x:v>
      </x:c>
      <x:c r="B10" s="26" t="str">
        <x:v>Holiday Couple Day</x:v>
      </x:c>
      <x:c r="C10" s="26" t="str">
        <x:v>10:00 AM–10:30 PM</x:v>
      </x:c>
      <x:c r="D10" s="26" t="str">
        <x:v>Avida Towers Verte, BGC, Taguig</x:v>
      </x:c>
      <x:c r="E10" s="26" t="str">
        <x:v>BGC / nearby</x:v>
      </x:c>
      <x:c r="F10" s="26" t="str">
        <x:v>No alarm; brunch; couples spa/massage; coffee; home/nap; dress up; special dinner; optional drinks.</x:v>
      </x:c>
      <x:c r="G10" s="26" t="str">
        <x:v>Walk / short Grab</x:v>
      </x:c>
      <x:c r="H10" s="32" t="n">
        <x:v>250</x:v>
      </x:c>
      <x:c r="I10" s="32" t="n">
        <x:v>3500</x:v>
      </x:c>
      <x:c r="J10" s="32" t="n">
        <x:v>6500</x:v>
      </x:c>
      <x:c r="K10" s="26" t="str">
        <x:v>National Heroes Day; deliberately relaxed</x:v>
      </x:c>
    </x:row>
    <x:row r="11">
      <x:c r="A11" s="26" t="str">
        <x:v>Tue, Sep 1</x:v>
      </x:c>
      <x:c r="B11" s="26" t="str">
        <x:v>Workday – Movie Date</x:v>
      </x:c>
      <x:c r="C11" s="26" t="str">
        <x:v>5:30 PM–9:30 PM</x:v>
      </x:c>
      <x:c r="D11" s="26" t="str">
        <x:v>Avida Towers Verte, BGC, Taguig</x:v>
      </x:c>
      <x:c r="E11" s="26" t="str">
        <x:v>BGC</x:v>
      </x:c>
      <x:c r="F11" s="26" t="str">
        <x:v>Dinner, movie, dessert, home early.</x:v>
      </x:c>
      <x:c r="G11" s="26" t="str">
        <x:v>Walk / short Grab</x:v>
      </x:c>
      <x:c r="H11" s="32" t="n">
        <x:v>0</x:v>
      </x:c>
      <x:c r="I11" s="32" t="n">
        <x:v>1400</x:v>
      </x:c>
      <x:c r="J11" s="32" t="n">
        <x:v>2500</x:v>
      </x:c>
      <x:c r="K11" s="26" t="str">
        <x:v>Close and easy after work</x:v>
      </x:c>
    </x:row>
    <x:row r="12">
      <x:c r="A12" s="26" t="str">
        <x:v>Wed, Sep 2</x:v>
      </x:c>
      <x:c r="B12" s="26" t="str">
        <x:v>Workday – McKinley Evening</x:v>
      </x:c>
      <x:c r="C12" s="26" t="str">
        <x:v>6:00 PM–9:30 PM</x:v>
      </x:c>
      <x:c r="D12" s="26" t="str">
        <x:v>Avida Towers Verte, BGC, Taguig</x:v>
      </x:c>
      <x:c r="E12" s="26" t="str">
        <x:v>Venice Grand Canal, McKinley Hill</x:v>
      </x:c>
      <x:c r="F12" s="26" t="str">
        <x:v>Short Grab; dinner; canal walk/photos; dessert/coffee; return home.</x:v>
      </x:c>
      <x:c r="G12" s="26" t="str">
        <x:v>Grab / taxi</x:v>
      </x:c>
      <x:c r="H12" s="32" t="n">
        <x:v>350</x:v>
      </x:c>
      <x:c r="I12" s="32" t="n">
        <x:v>1200</x:v>
      </x:c>
      <x:c r="J12" s="32" t="n">
        <x:v>2400</x:v>
      </x:c>
      <x:c r="K12" s="26" t="str">
        <x:v>One of the farther weekday options, but still nearby</x:v>
      </x:c>
    </x:row>
    <x:row r="13">
      <x:c r="A13" s="26" t="str">
        <x:v>Thu, Sep 3</x:v>
      </x:c>
      <x:c r="B13" s="26" t="str">
        <x:v>Workday – Final BGC Date</x:v>
      </x:c>
      <x:c r="C13" s="26" t="str">
        <x:v>7:00 PM–10:30 PM</x:v>
      </x:c>
      <x:c r="D13" s="26" t="str">
        <x:v>Avida Towers Verte, BGC, Taguig</x:v>
      </x:c>
      <x:c r="E13" s="26" t="str">
        <x:v>BGC</x:v>
      </x:c>
      <x:c r="F13" s="26" t="str">
        <x:v>Rest/change after work; nicer final dinner; High Street/5th Ave/Burgos Circle walk; dessert/coffee; pack afterward.</x:v>
      </x:c>
      <x:c r="G13" s="26" t="str">
        <x:v>Walk / short Grab</x:v>
      </x:c>
      <x:c r="H13" s="32" t="n">
        <x:v>0</x:v>
      </x:c>
      <x:c r="I13" s="32" t="n">
        <x:v>2200</x:v>
      </x:c>
      <x:c r="J13" s="32" t="n">
        <x:v>4200</x:v>
      </x:c>
      <x:c r="K13" s="26" t="str">
        <x:v>Final date before Iloilo</x:v>
      </x:c>
    </x:row>
    <x:row r="14">
      <x:c r="A14" s="26" t="str">
        <x:v>Fri, Sep 4</x:v>
      </x:c>
      <x:c r="B14" s="26" t="str">
        <x:v>Travel</x:v>
      </x:c>
      <x:c r="C14" s="26" t="str">
        <x:v>TBD</x:v>
      </x:c>
      <x:c r="D14" s="26" t="str">
        <x:v>Avida Towers Verte, BGC, Taguig</x:v>
      </x:c>
      <x:c r="E14" s="26" t="str">
        <x:v>Iloilo</x:v>
      </x:c>
      <x:c r="F14" s="26" t="str">
        <x:v>Travel to Iloilo.</x:v>
      </x:c>
      <x:c r="G14" s="26" t="str">
        <x:v>Airport transfer + flight</x:v>
      </x:c>
      <x:c r="H14" s="32" t="n">
        <x:v>500</x:v>
      </x:c>
      <x:c r="I14" s="32" t="n">
        <x:v>0</x:v>
      </x:c>
      <x:c r="J14" s="32" t="n">
        <x:v>0</x:v>
      </x:c>
      <x:c r="K14" s="26" t="str">
        <x:v>Flight cost excluded</x:v>
      </x:c>
    </x:row>
    <x:row r="15">
      <x:c r="A15" s="26" t="str">
        <x:v>Sat, Sep 5</x:v>
      </x:c>
      <x:c r="B15" s="26" t="str">
        <x:v>Iloilo</x:v>
      </x:c>
      <x:c r="C15" s="26" t="str">
        <x:v>Flexible</x:v>
      </x:c>
      <x:c r="D15" s="26" t="str">
        <x:v>Iloilo</x:v>
      </x:c>
      <x:c r="E15" s="26" t="str">
        <x:v>Iloilo</x:v>
      </x:c>
      <x:c r="F15" s="26" t="str">
        <x:v>Personal/family time.</x:v>
      </x:c>
      <x:c r="G15" s="26" t="str">
        <x:v>Varies</x:v>
      </x:c>
      <x:c r="H15" s="32" t="n">
        <x:v>0</x:v>
      </x:c>
      <x:c r="I15" s="32" t="n">
        <x:v>0</x:v>
      </x:c>
      <x:c r="J15" s="32" t="n">
        <x:v>0</x:v>
      </x:c>
      <x:c r="K15" s="26" t="str">
        <x:v>Not costed</x:v>
      </x:c>
    </x:row>
    <x:row r="16">
      <x:c r="A16" s="26" t="str">
        <x:v>Sun, Sep 6</x:v>
      </x:c>
      <x:c r="B16" s="26" t="str">
        <x:v>Return</x:v>
      </x:c>
      <x:c r="C16" s="26" t="str">
        <x:v>TBD</x:v>
      </x:c>
      <x:c r="D16" s="26" t="str">
        <x:v>Iloilo</x:v>
      </x:c>
      <x:c r="E16" s="26" t="str">
        <x:v>Avida Towers Verte, BGC, Taguig</x:v>
      </x:c>
      <x:c r="F16" s="26" t="str">
        <x:v>Return to BGC.</x:v>
      </x:c>
      <x:c r="G16" s="26" t="str">
        <x:v>Flight + airport transfer</x:v>
      </x:c>
      <x:c r="H16" s="32" t="n">
        <x:v>500</x:v>
      </x:c>
      <x:c r="I16" s="32" t="n">
        <x:v>0</x:v>
      </x:c>
      <x:c r="J16" s="32" t="n">
        <x:v>0</x:v>
      </x:c>
      <x:c r="K16" s="26" t="str">
        <x:v>Flight cost excluded</x:v>
      </x:c>
    </x:row>
    <x:row r="18">
      <x:c r="G18" s="35" t="str">
        <x:v>ESTIMATED PROPOSAL TOTAL</x:v>
      </x:c>
      <x:c r="H18" s="35" t="str"/>
      <x:c r="I18" s="35" t="str"/>
      <x:c r="J18" s="35" t="str"/>
    </x:row>
    <x:row r="19">
      <x:c r="H19" s="19" t="str">
        <x:v>Travel</x:v>
      </x:c>
      <x:c r="I19" s="19" t="str">
        <x:v>Low Total</x:v>
      </x:c>
      <x:c r="J19" s="19" t="str">
        <x:v>High Total</x:v>
      </x:c>
    </x:row>
    <x:row r="20">
      <x:c r="H20" s="41" t="n">
        <x:f>SUM(H5:H16)</x:f>
        <x:v>2750</x:v>
      </x:c>
      <x:c r="I20" s="41" t="n">
        <x:f>SUM(H5:H16)+SUM(I5:I16)</x:f>
        <x:v>19350</x:v>
      </x:c>
      <x:c r="J20" s="41" t="n">
        <x:f>SUM(H5:H16)+SUM(J5:J16)</x:f>
        <x:v>33650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30" hidden="0" customWidth="1"/>
    <x:col min="5" max="5" width="32" hidden="0" customWidth="1"/>
    <x:col min="6" max="6" width="58" hidden="0" customWidth="1"/>
    <x:col min="7" max="7" width="20" hidden="0" customWidth="1"/>
    <x:col min="8" max="8" width="16" hidden="0" customWidth="1"/>
    <x:col min="9" max="9" width="22" hidden="0" customWidth="1"/>
    <x:col min="10" max="10" width="23" hidden="0" customWidth="1"/>
    <x:col min="11" max="11" width="34" hidden="0" customWidth="1"/>
  </x:cols>
  <x:sheetData>
    <x:row r="1">
      <x:c r="A1" s="5" t="str">
        <x:v>PROPOSAL 2 — ROMANTIC / STAYCATION STYLE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Home base: Avida Towers Verte, BGC, Taguig | 2 people | Weekdays kept close because of 7:00 AM–4:00 PM work | Aug 31 holiday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7" t="str">
        <x:v>Date</x:v>
      </x:c>
      <x:c r="B4" s="27" t="str">
        <x:v>Theme</x:v>
      </x:c>
      <x:c r="C4" s="27" t="str">
        <x:v>Time</x:v>
      </x:c>
      <x:c r="D4" s="27" t="str">
        <x:v>Coming From</x:v>
      </x:c>
      <x:c r="E4" s="27" t="str">
        <x:v>Destination / Area</x:v>
      </x:c>
      <x:c r="F4" s="27" t="str">
        <x:v>Detailed Plan</x:v>
      </x:c>
      <x:c r="G4" s="27" t="str">
        <x:v>Travel Mode</x:v>
      </x:c>
      <x:c r="H4" s="27" t="str">
        <x:v>Est. Travel (₱)</x:v>
      </x:c>
      <x:c r="I4" s="27" t="str">
        <x:v>Est. Food/Activities Low (₱)</x:v>
      </x:c>
      <x:c r="J4" s="27" t="str">
        <x:v>Est. Food/Activities High (₱)</x:v>
      </x:c>
      <x:c r="K4" s="27" t="str">
        <x:v>Notes</x:v>
      </x:c>
    </x:row>
    <x:row r="5">
      <x:c r="A5" s="26" t="str">
        <x:v>Wed, Aug 26</x:v>
      </x:c>
      <x:c r="B5" s="26" t="str">
        <x:v>Arrival + Stay Home</x:v>
      </x:c>
      <x:c r="C5" s="26" t="str">
        <x:v>8:00 PM–10:00 PM</x:v>
      </x:c>
      <x:c r="D5" s="26" t="str">
        <x:v>Avida Towers Verte, BGC, Taguig</x:v>
      </x:c>
      <x:c r="E5" s="26" t="str">
        <x:v>BGC / Home</x:v>
      </x:c>
      <x:c r="F5" s="26" t="str">
        <x:v>Arrival, food, settle in, talk, rest.</x:v>
      </x:c>
      <x:c r="G5" s="26" t="str">
        <x:v>Walk / short Grab</x:v>
      </x:c>
      <x:c r="H5" s="32" t="n">
        <x:v>0</x:v>
      </x:c>
      <x:c r="I5" s="32" t="n">
        <x:v>500</x:v>
      </x:c>
      <x:c r="J5" s="32" t="n">
        <x:v>900</x:v>
      </x:c>
      <x:c r="K5" s="26" t="str">
        <x:v>No packed schedule</x:v>
      </x:c>
    </x:row>
    <x:row r="6">
      <x:c r="A6" s="26" t="str">
        <x:v>Thu, Aug 27</x:v>
      </x:c>
      <x:c r="B6" s="26" t="str">
        <x:v>Workday – High Street</x:v>
      </x:c>
      <x:c r="C6" s="26" t="str">
        <x:v>6:00 PM–9:30 PM</x:v>
      </x:c>
      <x:c r="D6" s="26" t="str">
        <x:v>Avida Towers Verte, BGC, Taguig</x:v>
      </x:c>
      <x:c r="E6" s="26" t="str">
        <x:v>Bonifacio High Street</x:v>
      </x:c>
      <x:c r="F6" s="26" t="str">
        <x:v>Dinner + walk + coffee/dessert.</x:v>
      </x:c>
      <x:c r="G6" s="26" t="str">
        <x:v>Walk / short Grab</x:v>
      </x:c>
      <x:c r="H6" s="32" t="n">
        <x:v>0</x:v>
      </x:c>
      <x:c r="I6" s="32" t="n">
        <x:v>1200</x:v>
      </x:c>
      <x:c r="J6" s="32" t="n">
        <x:v>2200</x:v>
      </x:c>
      <x:c r="K6" s="26" t="str">
        <x:v>Close to home</x:v>
      </x:c>
    </x:row>
    <x:row r="7">
      <x:c r="A7" s="26" t="str">
        <x:v>Fri, Aug 28</x:v>
      </x:c>
      <x:c r="B7" s="26" t="str">
        <x:v>Fancy Dinner Date</x:v>
      </x:c>
      <x:c r="C7" s="26" t="str">
        <x:v>6:30 PM–10:30 PM</x:v>
      </x:c>
      <x:c r="D7" s="26" t="str">
        <x:v>Avida Towers Verte, BGC, Taguig</x:v>
      </x:c>
      <x:c r="E7" s="26" t="str">
        <x:v>BGC</x:v>
      </x:c>
      <x:c r="F7" s="26" t="str">
        <x:v>Dress up; nicer restaurant; dessert/drinks; evening walk.</x:v>
      </x:c>
      <x:c r="G7" s="26" t="str">
        <x:v>Walk / short Grab</x:v>
      </x:c>
      <x:c r="H7" s="32" t="n">
        <x:v>0</x:v>
      </x:c>
      <x:c r="I7" s="32" t="n">
        <x:v>2500</x:v>
      </x:c>
      <x:c r="J7" s="32" t="n">
        <x:v>4500</x:v>
      </x:c>
      <x:c r="K7" s="26" t="str">
        <x:v>Romantic focus</x:v>
      </x:c>
    </x:row>
    <x:row r="8">
      <x:c r="A8" s="26" t="str">
        <x:v>Sat, Aug 29</x:v>
      </x:c>
      <x:c r="B8" s="26" t="str">
        <x:v>Romantic Staycation-Style Day</x:v>
      </x:c>
      <x:c r="C8" s="26" t="str">
        <x:v>10:00 AM–10:00 PM</x:v>
      </x:c>
      <x:c r="D8" s="26" t="str">
        <x:v>Avida Towers Verte, BGC, Taguig</x:v>
      </x:c>
      <x:c r="E8" s="26" t="str">
        <x:v>BGC + Makati</x:v>
      </x:c>
      <x:c r="F8" s="26" t="str">
        <x:v>Late breakfast/brunch; couples massage; coffee; Makati stroll; Ayala area; rooftop/nice dinner.</x:v>
      </x:c>
      <x:c r="G8" s="26" t="str">
        <x:v>Grab / taxi</x:v>
      </x:c>
      <x:c r="H8" s="32" t="n">
        <x:v>500</x:v>
      </x:c>
      <x:c r="I8" s="32" t="n">
        <x:v>4200</x:v>
      </x:c>
      <x:c r="J8" s="32" t="n">
        <x:v>7500</x:v>
      </x:c>
      <x:c r="K8" s="26" t="str">
        <x:v>Less sightseeing, more time together</x:v>
      </x:c>
    </x:row>
    <x:row r="9">
      <x:c r="A9" s="26" t="str">
        <x:v>Sun, Aug 30</x:v>
      </x:c>
      <x:c r="B9" s="26" t="str">
        <x:v>Lazy Couple Sunday</x:v>
      </x:c>
      <x:c r="C9" s="26" t="str">
        <x:v>10:30 AM–9:00 PM</x:v>
      </x:c>
      <x:c r="D9" s="26" t="str">
        <x:v>Avida Towers Verte, BGC, Taguig</x:v>
      </x:c>
      <x:c r="E9" s="26" t="str">
        <x:v>BGC / nearby</x:v>
      </x:c>
      <x:c r="F9" s="26" t="str">
        <x:v>Sleep in; brunch; movie/shopping; coffee; optional groceries; cook/order dinner together.</x:v>
      </x:c>
      <x:c r="G9" s="26" t="str">
        <x:v>Walk / short Grab</x:v>
      </x:c>
      <x:c r="H9" s="32" t="n">
        <x:v>150</x:v>
      </x:c>
      <x:c r="I9" s="32" t="n">
        <x:v>1800</x:v>
      </x:c>
      <x:c r="J9" s="32" t="n">
        <x:v>3200</x:v>
      </x:c>
      <x:c r="K9" s="26" t="str">
        <x:v>Very low-pressure day</x:v>
      </x:c>
    </x:row>
    <x:row r="10">
      <x:c r="A10" s="26" t="str">
        <x:v>Mon, Aug 31</x:v>
      </x:c>
      <x:c r="B10" s="26" t="str">
        <x:v>Holiday Romantic Day</x:v>
      </x:c>
      <x:c r="C10" s="26" t="str">
        <x:v>10:00 AM–10:30 PM</x:v>
      </x:c>
      <x:c r="D10" s="26" t="str">
        <x:v>Avida Towers Verte, BGC, Taguig</x:v>
      </x:c>
      <x:c r="E10" s="26" t="str">
        <x:v>BGC / nearby</x:v>
      </x:c>
      <x:c r="F10" s="26" t="str">
        <x:v>Sleep in; brunch; spa; coffee; nap; dress up; special dinner; optional wine/drinks.</x:v>
      </x:c>
      <x:c r="G10" s="26" t="str">
        <x:v>Walk / short Grab</x:v>
      </x:c>
      <x:c r="H10" s="32" t="n">
        <x:v>250</x:v>
      </x:c>
      <x:c r="I10" s="32" t="n">
        <x:v>3800</x:v>
      </x:c>
      <x:c r="J10" s="32" t="n">
        <x:v>7000</x:v>
      </x:c>
      <x:c r="K10" s="26" t="str">
        <x:v>Holiday centerpiece</x:v>
      </x:c>
    </x:row>
    <x:row r="11">
      <x:c r="A11" s="26" t="str">
        <x:v>Tue, Sep 1</x:v>
      </x:c>
      <x:c r="B11" s="26" t="str">
        <x:v>Workday – Dinner + Movie</x:v>
      </x:c>
      <x:c r="C11" s="26" t="str">
        <x:v>5:30 PM–9:30 PM</x:v>
      </x:c>
      <x:c r="D11" s="26" t="str">
        <x:v>Avida Towers Verte, BGC, Taguig</x:v>
      </x:c>
      <x:c r="E11" s="26" t="str">
        <x:v>BGC</x:v>
      </x:c>
      <x:c r="F11" s="26" t="str">
        <x:v>Easy dinner and movie.</x:v>
      </x:c>
      <x:c r="G11" s="26" t="str">
        <x:v>Walk / short Grab</x:v>
      </x:c>
      <x:c r="H11" s="32" t="n">
        <x:v>0</x:v>
      </x:c>
      <x:c r="I11" s="32" t="n">
        <x:v>1400</x:v>
      </x:c>
      <x:c r="J11" s="32" t="n">
        <x:v>2500</x:v>
      </x:c>
      <x:c r="K11" s="26" t="str">
        <x:v>Home early</x:v>
      </x:c>
    </x:row>
    <x:row r="12">
      <x:c r="A12" s="26" t="str">
        <x:v>Wed, Sep 2</x:v>
      </x:c>
      <x:c r="B12" s="26" t="str">
        <x:v>Workday – Venice Date</x:v>
      </x:c>
      <x:c r="C12" s="26" t="str">
        <x:v>6:00 PM–9:30 PM</x:v>
      </x:c>
      <x:c r="D12" s="26" t="str">
        <x:v>Avida Towers Verte, BGC, Taguig</x:v>
      </x:c>
      <x:c r="E12" s="26" t="str">
        <x:v>Venice Grand Canal, McKinley Hill</x:v>
      </x:c>
      <x:c r="F12" s="26" t="str">
        <x:v>Dinner, canal walk, photos, dessert.</x:v>
      </x:c>
      <x:c r="G12" s="26" t="str">
        <x:v>Grab / taxi</x:v>
      </x:c>
      <x:c r="H12" s="32" t="n">
        <x:v>350</x:v>
      </x:c>
      <x:c r="I12" s="32" t="n">
        <x:v>1300</x:v>
      </x:c>
      <x:c r="J12" s="32" t="n">
        <x:v>2500</x:v>
      </x:c>
      <x:c r="K12" s="26" t="str">
        <x:v>Scenic but still close</x:v>
      </x:c>
    </x:row>
    <x:row r="13">
      <x:c r="A13" s="26" t="str">
        <x:v>Thu, Sep 3</x:v>
      </x:c>
      <x:c r="B13" s="26" t="str">
        <x:v>Final Romantic Dinner</x:v>
      </x:c>
      <x:c r="C13" s="26" t="str">
        <x:v>7:00 PM–10:30 PM</x:v>
      </x:c>
      <x:c r="D13" s="26" t="str">
        <x:v>Avida Towers Verte, BGC, Taguig</x:v>
      </x:c>
      <x:c r="E13" s="26" t="str">
        <x:v>BGC</x:v>
      </x:c>
      <x:c r="F13" s="26" t="str">
        <x:v>Final special dinner; walk; dessert; pack.</x:v>
      </x:c>
      <x:c r="G13" s="26" t="str">
        <x:v>Walk / short Grab</x:v>
      </x:c>
      <x:c r="H13" s="32" t="n">
        <x:v>0</x:v>
      </x:c>
      <x:c r="I13" s="32" t="n">
        <x:v>2500</x:v>
      </x:c>
      <x:c r="J13" s="32" t="n">
        <x:v>5000</x:v>
      </x:c>
      <x:c r="K13" s="26" t="str">
        <x:v>End the visit on a date</x:v>
      </x:c>
    </x:row>
    <x:row r="14">
      <x:c r="A14" s="26" t="str">
        <x:v>Fri, Sep 4</x:v>
      </x:c>
      <x:c r="B14" s="26" t="str">
        <x:v>Travel</x:v>
      </x:c>
      <x:c r="C14" s="26" t="str">
        <x:v>TBD</x:v>
      </x:c>
      <x:c r="D14" s="26" t="str">
        <x:v>Avida Towers Verte, BGC, Taguig</x:v>
      </x:c>
      <x:c r="E14" s="26" t="str">
        <x:v>Iloilo</x:v>
      </x:c>
      <x:c r="F14" s="26" t="str">
        <x:v>Travel to Iloilo.</x:v>
      </x:c>
      <x:c r="G14" s="26" t="str">
        <x:v>Airport transfer + flight</x:v>
      </x:c>
      <x:c r="H14" s="32" t="n">
        <x:v>500</x:v>
      </x:c>
      <x:c r="I14" s="32" t="n">
        <x:v>0</x:v>
      </x:c>
      <x:c r="J14" s="32" t="n">
        <x:v>0</x:v>
      </x:c>
      <x:c r="K14" s="26" t="str">
        <x:v>Flight excluded</x:v>
      </x:c>
    </x:row>
    <x:row r="15">
      <x:c r="A15" s="26" t="str">
        <x:v>Sat, Sep 5</x:v>
      </x:c>
      <x:c r="B15" s="26" t="str">
        <x:v>Iloilo</x:v>
      </x:c>
      <x:c r="C15" s="26" t="str">
        <x:v>Flexible</x:v>
      </x:c>
      <x:c r="D15" s="26" t="str">
        <x:v>Iloilo</x:v>
      </x:c>
      <x:c r="E15" s="26" t="str">
        <x:v>Iloilo</x:v>
      </x:c>
      <x:c r="F15" s="26" t="str">
        <x:v>Personal/family time.</x:v>
      </x:c>
      <x:c r="G15" s="26" t="str">
        <x:v>Varies</x:v>
      </x:c>
      <x:c r="H15" s="32" t="n">
        <x:v>0</x:v>
      </x:c>
      <x:c r="I15" s="32" t="n">
        <x:v>0</x:v>
      </x:c>
      <x:c r="J15" s="32" t="n">
        <x:v>0</x:v>
      </x:c>
      <x:c r="K15" s="26" t="str">
        <x:v>Not costed</x:v>
      </x:c>
    </x:row>
    <x:row r="16">
      <x:c r="A16" s="26" t="str">
        <x:v>Sun, Sep 6</x:v>
      </x:c>
      <x:c r="B16" s="26" t="str">
        <x:v>Return</x:v>
      </x:c>
      <x:c r="C16" s="26" t="str">
        <x:v>TBD</x:v>
      </x:c>
      <x:c r="D16" s="26" t="str">
        <x:v>Iloilo</x:v>
      </x:c>
      <x:c r="E16" s="26" t="str">
        <x:v>Avida Towers Verte, BGC, Taguig</x:v>
      </x:c>
      <x:c r="F16" s="26" t="str">
        <x:v>Return to BGC.</x:v>
      </x:c>
      <x:c r="G16" s="26" t="str">
        <x:v>Flight + airport transfer</x:v>
      </x:c>
      <x:c r="H16" s="32" t="n">
        <x:v>500</x:v>
      </x:c>
      <x:c r="I16" s="32" t="n">
        <x:v>0</x:v>
      </x:c>
      <x:c r="J16" s="32" t="n">
        <x:v>0</x:v>
      </x:c>
      <x:c r="K16" s="26" t="str">
        <x:v>Flight excluded</x:v>
      </x:c>
    </x:row>
    <x:row r="18">
      <x:c r="G18" s="35" t="str">
        <x:v>ESTIMATED PROPOSAL TOTAL</x:v>
      </x:c>
      <x:c r="H18" s="35" t="str"/>
      <x:c r="I18" s="35" t="str"/>
      <x:c r="J18" s="35" t="str"/>
    </x:row>
    <x:row r="19">
      <x:c r="H19" s="19" t="str">
        <x:v>Travel</x:v>
      </x:c>
      <x:c r="I19" s="19" t="str">
        <x:v>Low Total</x:v>
      </x:c>
      <x:c r="J19" s="19" t="str">
        <x:v>High Total</x:v>
      </x:c>
    </x:row>
    <x:row r="20">
      <x:c r="H20" s="41" t="n">
        <x:f>SUM(H5:H16)</x:f>
        <x:v>2250</x:v>
      </x:c>
      <x:c r="I20" s="41" t="n">
        <x:f>SUM(H5:H16)+SUM(I5:I16)</x:f>
        <x:v>21450</x:v>
      </x:c>
      <x:c r="J20" s="41" t="n">
        <x:f>SUM(H5:H16)+SUM(J5:J16)</x:f>
        <x:v>37550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18" hidden="0" customWidth="1"/>
    <x:col min="4" max="4" width="30" hidden="0" customWidth="1"/>
    <x:col min="5" max="5" width="32" hidden="0" customWidth="1"/>
    <x:col min="6" max="6" width="58" hidden="0" customWidth="1"/>
    <x:col min="7" max="7" width="20" hidden="0" customWidth="1"/>
    <x:col min="8" max="8" width="16" hidden="0" customWidth="1"/>
    <x:col min="9" max="9" width="22" hidden="0" customWidth="1"/>
    <x:col min="10" max="10" width="23" hidden="0" customWidth="1"/>
    <x:col min="11" max="11" width="34" hidden="0" customWidth="1"/>
  </x:cols>
  <x:sheetData>
    <x:row r="1">
      <x:c r="A1" s="5" t="str">
        <x:v>PROPOSAL 3 — BGC + EXPLORE MANILA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Home base: Avida Towers Verte, BGC, Taguig | 2 people | Weekdays kept close because of 7:00 AM–4:00 PM work | Aug 31 holiday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7" t="str">
        <x:v>Date</x:v>
      </x:c>
      <x:c r="B4" s="27" t="str">
        <x:v>Theme</x:v>
      </x:c>
      <x:c r="C4" s="27" t="str">
        <x:v>Time</x:v>
      </x:c>
      <x:c r="D4" s="27" t="str">
        <x:v>Coming From</x:v>
      </x:c>
      <x:c r="E4" s="27" t="str">
        <x:v>Destination / Area</x:v>
      </x:c>
      <x:c r="F4" s="27" t="str">
        <x:v>Detailed Plan</x:v>
      </x:c>
      <x:c r="G4" s="27" t="str">
        <x:v>Travel Mode</x:v>
      </x:c>
      <x:c r="H4" s="27" t="str">
        <x:v>Est. Travel (₱)</x:v>
      </x:c>
      <x:c r="I4" s="27" t="str">
        <x:v>Est. Food/Activities Low (₱)</x:v>
      </x:c>
      <x:c r="J4" s="27" t="str">
        <x:v>Est. Food/Activities High (₱)</x:v>
      </x:c>
      <x:c r="K4" s="27" t="str">
        <x:v>Notes</x:v>
      </x:c>
    </x:row>
    <x:row r="5">
      <x:c r="A5" s="26" t="str">
        <x:v>Wed, Aug 26</x:v>
      </x:c>
      <x:c r="B5" s="26" t="str">
        <x:v>Arrival</x:v>
      </x:c>
      <x:c r="C5" s="26" t="str">
        <x:v>8:00 PM–10:00 PM</x:v>
      </x:c>
      <x:c r="D5" s="26" t="str">
        <x:v>Avida Towers Verte, BGC, Taguig</x:v>
      </x:c>
      <x:c r="E5" s="26" t="str">
        <x:v>BGC / Home</x:v>
      </x:c>
      <x:c r="F5" s="26" t="str">
        <x:v>Settle in and rest.</x:v>
      </x:c>
      <x:c r="G5" s="26" t="str">
        <x:v>Walk / short Grab</x:v>
      </x:c>
      <x:c r="H5" s="32" t="n">
        <x:v>0</x:v>
      </x:c>
      <x:c r="I5" s="32" t="n">
        <x:v>500</x:v>
      </x:c>
      <x:c r="J5" s="32" t="n">
        <x:v>900</x:v>
      </x:c>
      <x:c r="K5" s="26" t="str">
        <x:v>Keep arrival simple</x:v>
      </x:c>
    </x:row>
    <x:row r="6">
      <x:c r="A6" s="26" t="str">
        <x:v>Thu, Aug 27</x:v>
      </x:c>
      <x:c r="B6" s="26" t="str">
        <x:v>Workday – BGC High Street</x:v>
      </x:c>
      <x:c r="C6" s="26" t="str">
        <x:v>6:00 PM–9:30 PM</x:v>
      </x:c>
      <x:c r="D6" s="26" t="str">
        <x:v>Avida Towers Verte, BGC, Taguig</x:v>
      </x:c>
      <x:c r="E6" s="26" t="str">
        <x:v>Bonifacio High Street</x:v>
      </x:c>
      <x:c r="F6" s="26" t="str">
        <x:v>Dinner, High Street walk, dessert/coffee.</x:v>
      </x:c>
      <x:c r="G6" s="26" t="str">
        <x:v>Walk / short Grab</x:v>
      </x:c>
      <x:c r="H6" s="32" t="n">
        <x:v>0</x:v>
      </x:c>
      <x:c r="I6" s="32" t="n">
        <x:v>1200</x:v>
      </x:c>
      <x:c r="J6" s="32" t="n">
        <x:v>2200</x:v>
      </x:c>
      <x:c r="K6" s="26" t="str">
        <x:v>Close to home</x:v>
      </x:c>
    </x:row>
    <x:row r="7">
      <x:c r="A7" s="26" t="str">
        <x:v>Fri, Aug 28</x:v>
      </x:c>
      <x:c r="B7" s="26" t="str">
        <x:v>Workday – BGC Date Night</x:v>
      </x:c>
      <x:c r="C7" s="26" t="str">
        <x:v>6:30 PM–10:30 PM</x:v>
      </x:c>
      <x:c r="D7" s="26" t="str">
        <x:v>Avida Towers Verte, BGC, Taguig</x:v>
      </x:c>
      <x:c r="E7" s="26" t="str">
        <x:v>BGC</x:v>
      </x:c>
      <x:c r="F7" s="26" t="str">
        <x:v>Nice dinner; optional rooftop/drinks; walk.</x:v>
      </x:c>
      <x:c r="G7" s="26" t="str">
        <x:v>Walk / short Grab</x:v>
      </x:c>
      <x:c r="H7" s="32" t="n">
        <x:v>0</x:v>
      </x:c>
      <x:c r="I7" s="32" t="n">
        <x:v>2000</x:v>
      </x:c>
      <x:c r="J7" s="32" t="n">
        <x:v>4000</x:v>
      </x:c>
      <x:c r="K7" s="26" t="str">
        <x:v>No cross-Manila trip after work</x:v>
      </x:c>
    </x:row>
    <x:row r="8">
      <x:c r="A8" s="26" t="str">
        <x:v>Sat, Aug 29</x:v>
      </x:c>
      <x:c r="B8" s="26" t="str">
        <x:v>Manila Mega Day</x:v>
      </x:c>
      <x:c r="C8" s="26" t="str">
        <x:v>8:30 AM–9:30 PM</x:v>
      </x:c>
      <x:c r="D8" s="26" t="str">
        <x:v>Avida Towers Verte, BGC, Taguig</x:v>
      </x:c>
      <x:c r="E8" s="26" t="str">
        <x:v>National Museum + Intramuros + Manila Bay</x:v>
      </x:c>
      <x:c r="F8" s="26" t="str">
        <x:v>National Museum; Intramuros; Casa Manila; Fort Santiago; Manila Bay/sunset; dinner.</x:v>
      </x:c>
      <x:c r="G8" s="26" t="str">
        <x:v>Grab / taxi</x:v>
      </x:c>
      <x:c r="H8" s="32" t="n">
        <x:v>800</x:v>
      </x:c>
      <x:c r="I8" s="32" t="n">
        <x:v>2000</x:v>
      </x:c>
      <x:c r="J8" s="32" t="n">
        <x:v>3600</x:v>
      </x:c>
      <x:c r="K8" s="26" t="str">
        <x:v>Full sightseeing day</x:v>
      </x:c>
    </x:row>
    <x:row r="9">
      <x:c r="A9" s="26" t="str">
        <x:v>Sun, Aug 30</x:v>
      </x:c>
      <x:c r="B9" s="26" t="str">
        <x:v>Binondo Food Adventure</x:v>
      </x:c>
      <x:c r="C9" s="26" t="str">
        <x:v>9:30 AM–8:30 PM</x:v>
      </x:c>
      <x:c r="D9" s="26" t="str">
        <x:v>Avida Towers Verte, BGC, Taguig</x:v>
      </x:c>
      <x:c r="E9" s="26" t="str">
        <x:v>Binondo + Manila</x:v>
      </x:c>
      <x:c r="F9" s="26" t="str">
        <x:v>Ongpin/Chinatown food crawl; share dumplings/noodles/lumpia/hopia/pastries; optional Rizal Park, Manila Bay, Ocean Park, mall or early return.</x:v>
      </x:c>
      <x:c r="G9" s="26" t="str">
        <x:v>Grab / taxi</x:v>
      </x:c>
      <x:c r="H9" s="32" t="n">
        <x:v>800</x:v>
      </x:c>
      <x:c r="I9" s="32" t="n">
        <x:v>1800</x:v>
      </x:c>
      <x:c r="J9" s="32" t="n">
        <x:v>3800</x:v>
      </x:c>
      <x:c r="K9" s="26" t="str">
        <x:v>Ocean Park admission, if chosen, is extra</x:v>
      </x:c>
    </x:row>
    <x:row r="10">
      <x:c r="A10" s="26" t="str">
        <x:v>Mon, Aug 31</x:v>
      </x:c>
      <x:c r="B10" s="26" t="str">
        <x:v>Holiday – Manila/BGC Flex Day</x:v>
      </x:c>
      <x:c r="C10" s="26" t="str">
        <x:v>10:00 AM–10:00 PM</x:v>
      </x:c>
      <x:c r="D10" s="26" t="str">
        <x:v>Avida Towers Verte, BGC, Taguig</x:v>
      </x:c>
      <x:c r="E10" s="26" t="str">
        <x:v>Makati + BGC</x:v>
      </x:c>
      <x:c r="F10" s="26" t="str">
        <x:v>Brunch; Ayala/Makati exploration; coffee; return BGC; spa or rest; special dinner.</x:v>
      </x:c>
      <x:c r="G10" s="26" t="str">
        <x:v>Grab / taxi</x:v>
      </x:c>
      <x:c r="H10" s="32" t="n">
        <x:v>500</x:v>
      </x:c>
      <x:c r="I10" s="32" t="n">
        <x:v>3000</x:v>
      </x:c>
      <x:c r="J10" s="32" t="n">
        <x:v>6000</x:v>
      </x:c>
      <x:c r="K10" s="26" t="str">
        <x:v>Use holiday as flexible third full day</x:v>
      </x:c>
    </x:row>
    <x:row r="11">
      <x:c r="A11" s="26" t="str">
        <x:v>Tue, Sep 1</x:v>
      </x:c>
      <x:c r="B11" s="26" t="str">
        <x:v>Workday – Movie</x:v>
      </x:c>
      <x:c r="C11" s="26" t="str">
        <x:v>5:30 PM–9:30 PM</x:v>
      </x:c>
      <x:c r="D11" s="26" t="str">
        <x:v>Avida Towers Verte, BGC, Taguig</x:v>
      </x:c>
      <x:c r="E11" s="26" t="str">
        <x:v>BGC</x:v>
      </x:c>
      <x:c r="F11" s="26" t="str">
        <x:v>Dinner + movie + dessert.</x:v>
      </x:c>
      <x:c r="G11" s="26" t="str">
        <x:v>Walk / short Grab</x:v>
      </x:c>
      <x:c r="H11" s="32" t="n">
        <x:v>0</x:v>
      </x:c>
      <x:c r="I11" s="32" t="n">
        <x:v>1400</x:v>
      </x:c>
      <x:c r="J11" s="32" t="n">
        <x:v>2500</x:v>
      </x:c>
      <x:c r="K11" s="26" t="str">
        <x:v>Close only</x:v>
      </x:c>
    </x:row>
    <x:row r="12">
      <x:c r="A12" s="26" t="str">
        <x:v>Wed, Sep 2</x:v>
      </x:c>
      <x:c r="B12" s="26" t="str">
        <x:v>Workday – McKinley</x:v>
      </x:c>
      <x:c r="C12" s="26" t="str">
        <x:v>6:00 PM–9:30 PM</x:v>
      </x:c>
      <x:c r="D12" s="26" t="str">
        <x:v>Avida Towers Verte, BGC, Taguig</x:v>
      </x:c>
      <x:c r="E12" s="26" t="str">
        <x:v>Venice Grand Canal, McKinley Hill</x:v>
      </x:c>
      <x:c r="F12" s="26" t="str">
        <x:v>Dinner + canal walk + photos + dessert.</x:v>
      </x:c>
      <x:c r="G12" s="26" t="str">
        <x:v>Grab / taxi</x:v>
      </x:c>
      <x:c r="H12" s="32" t="n">
        <x:v>350</x:v>
      </x:c>
      <x:c r="I12" s="32" t="n">
        <x:v>1300</x:v>
      </x:c>
      <x:c r="J12" s="32" t="n">
        <x:v>2500</x:v>
      </x:c>
      <x:c r="K12" s="26" t="str">
        <x:v>Nearby weekday excursion</x:v>
      </x:c>
    </x:row>
    <x:row r="13">
      <x:c r="A13" s="26" t="str">
        <x:v>Thu, Sep 3</x:v>
      </x:c>
      <x:c r="B13" s="26" t="str">
        <x:v>Workday – Final BGC Night</x:v>
      </x:c>
      <x:c r="C13" s="26" t="str">
        <x:v>7:00 PM–10:30 PM</x:v>
      </x:c>
      <x:c r="D13" s="26" t="str">
        <x:v>Avida Towers Verte, BGC, Taguig</x:v>
      </x:c>
      <x:c r="E13" s="26" t="str">
        <x:v>BGC</x:v>
      </x:c>
      <x:c r="F13" s="26" t="str">
        <x:v>Nice dinner; evening walk; dessert; pack.</x:v>
      </x:c>
      <x:c r="G13" s="26" t="str">
        <x:v>Walk / short Grab</x:v>
      </x:c>
      <x:c r="H13" s="32" t="n">
        <x:v>0</x:v>
      </x:c>
      <x:c r="I13" s="32" t="n">
        <x:v>2300</x:v>
      </x:c>
      <x:c r="J13" s="32" t="n">
        <x:v>4500</x:v>
      </x:c>
      <x:c r="K13" s="26" t="str">
        <x:v>Final night</x:v>
      </x:c>
    </x:row>
    <x:row r="14">
      <x:c r="A14" s="26" t="str">
        <x:v>Fri, Sep 4</x:v>
      </x:c>
      <x:c r="B14" s="26" t="str">
        <x:v>Travel</x:v>
      </x:c>
      <x:c r="C14" s="26" t="str">
        <x:v>TBD</x:v>
      </x:c>
      <x:c r="D14" s="26" t="str">
        <x:v>Avida Towers Verte, BGC, Taguig</x:v>
      </x:c>
      <x:c r="E14" s="26" t="str">
        <x:v>Iloilo</x:v>
      </x:c>
      <x:c r="F14" s="26" t="str">
        <x:v>Travel to Iloilo.</x:v>
      </x:c>
      <x:c r="G14" s="26" t="str">
        <x:v>Airport transfer + flight</x:v>
      </x:c>
      <x:c r="H14" s="32" t="n">
        <x:v>500</x:v>
      </x:c>
      <x:c r="I14" s="32" t="n">
        <x:v>0</x:v>
      </x:c>
      <x:c r="J14" s="32" t="n">
        <x:v>0</x:v>
      </x:c>
      <x:c r="K14" s="26" t="str">
        <x:v>Flight excluded</x:v>
      </x:c>
    </x:row>
    <x:row r="15">
      <x:c r="A15" s="26" t="str">
        <x:v>Sat, Sep 5</x:v>
      </x:c>
      <x:c r="B15" s="26" t="str">
        <x:v>Iloilo</x:v>
      </x:c>
      <x:c r="C15" s="26" t="str">
        <x:v>Flexible</x:v>
      </x:c>
      <x:c r="D15" s="26" t="str">
        <x:v>Iloilo</x:v>
      </x:c>
      <x:c r="E15" s="26" t="str">
        <x:v>Iloilo</x:v>
      </x:c>
      <x:c r="F15" s="26" t="str">
        <x:v>Personal/family time.</x:v>
      </x:c>
      <x:c r="G15" s="26" t="str">
        <x:v>Varies</x:v>
      </x:c>
      <x:c r="H15" s="32" t="n">
        <x:v>0</x:v>
      </x:c>
      <x:c r="I15" s="32" t="n">
        <x:v>0</x:v>
      </x:c>
      <x:c r="J15" s="32" t="n">
        <x:v>0</x:v>
      </x:c>
      <x:c r="K15" s="26" t="str">
        <x:v>Not costed</x:v>
      </x:c>
    </x:row>
    <x:row r="16">
      <x:c r="A16" s="26" t="str">
        <x:v>Sun, Sep 6</x:v>
      </x:c>
      <x:c r="B16" s="26" t="str">
        <x:v>Return</x:v>
      </x:c>
      <x:c r="C16" s="26" t="str">
        <x:v>TBD</x:v>
      </x:c>
      <x:c r="D16" s="26" t="str">
        <x:v>Iloilo</x:v>
      </x:c>
      <x:c r="E16" s="26" t="str">
        <x:v>Avida Towers Verte, BGC, Taguig</x:v>
      </x:c>
      <x:c r="F16" s="26" t="str">
        <x:v>Return to BGC.</x:v>
      </x:c>
      <x:c r="G16" s="26" t="str">
        <x:v>Flight + airport transfer</x:v>
      </x:c>
      <x:c r="H16" s="32" t="n">
        <x:v>500</x:v>
      </x:c>
      <x:c r="I16" s="32" t="n">
        <x:v>0</x:v>
      </x:c>
      <x:c r="J16" s="32" t="n">
        <x:v>0</x:v>
      </x:c>
      <x:c r="K16" s="26" t="str">
        <x:v>Flight excluded</x:v>
      </x:c>
    </x:row>
    <x:row r="18">
      <x:c r="G18" s="35" t="str">
        <x:v>ESTIMATED PROPOSAL TOTAL</x:v>
      </x:c>
      <x:c r="H18" s="35" t="str"/>
      <x:c r="I18" s="35" t="str"/>
      <x:c r="J18" s="35" t="str"/>
    </x:row>
    <x:row r="19">
      <x:c r="H19" s="19" t="str">
        <x:v>Travel</x:v>
      </x:c>
      <x:c r="I19" s="19" t="str">
        <x:v>Low Total</x:v>
      </x:c>
      <x:c r="J19" s="19" t="str">
        <x:v>High Total</x:v>
      </x:c>
    </x:row>
    <x:row r="20">
      <x:c r="H20" s="41" t="n">
        <x:f>SUM(H5:H16)</x:f>
        <x:v>3450</x:v>
      </x:c>
      <x:c r="I20" s="41" t="n">
        <x:f>SUM(H5:H16)+SUM(I5:I16)</x:f>
        <x:v>18950</x:v>
      </x:c>
      <x:c r="J20" s="41" t="n">
        <x:f>SUM(H5:H16)+SUM(J5:J16)</x:f>
        <x:v>33450</x:v>
      </x:c>
    </x:row>
  </x:sheetData>
  <x:mergeCells>
    <x:mergeCell ref="A1:K1"/>
    <x:mergeCell ref="A2:K2"/>
  </x:mergeCells>
  <x:pageMargins left="0.7" right="0.7" top="0.75" bottom="0.75" header="0.3" footer="0.3"/>
</x:worksheet>
</file>